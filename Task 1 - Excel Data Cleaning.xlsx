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 Data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<sst xmlns="http://schemas.openxmlformats.org/spreadsheetml/2006/main" count="134" uniqueCount="37">
  <si>
    <t>Order ID</t>
  </si>
  <si>
    <t>Order Date</t>
  </si>
  <si>
    <t>Product</t>
  </si>
  <si>
    <t>Category</t>
  </si>
  <si>
    <t>Region</t>
  </si>
  <si>
    <t>Salesperson</t>
  </si>
  <si>
    <t>Quantity</t>
  </si>
  <si>
    <t>Unit Price</t>
  </si>
  <si>
    <t>Sales Amount</t>
  </si>
  <si>
    <t>Product LOOKUP</t>
  </si>
  <si>
    <t>XLOOKUP</t>
  </si>
  <si>
    <t>Laptop</t>
  </si>
  <si>
    <t>Electronics</t>
  </si>
  <si>
    <t>Chennai</t>
  </si>
  <si>
    <t>Ravi</t>
  </si>
  <si>
    <t>Mouse</t>
  </si>
  <si>
    <t>Accessories</t>
  </si>
  <si>
    <t>Priya</t>
  </si>
  <si>
    <t>Keyboard</t>
  </si>
  <si>
    <t>Madurai</t>
  </si>
  <si>
    <t>Arun</t>
  </si>
  <si>
    <t>Monitor</t>
  </si>
  <si>
    <t>Coimbatore</t>
  </si>
  <si>
    <t>Printer</t>
  </si>
  <si>
    <t>Unknown</t>
  </si>
  <si>
    <t>Metric</t>
  </si>
  <si>
    <t>Value</t>
  </si>
  <si>
    <t>Total Orders</t>
  </si>
  <si>
    <t>Duplicate Rows Removed</t>
  </si>
  <si>
    <t>Missing Quantity</t>
  </si>
  <si>
    <t>Missing Salesperson</t>
  </si>
  <si>
    <t>Total Sales</t>
  </si>
  <si>
    <t>Sales By Category</t>
  </si>
  <si>
    <t>Grand Total</t>
  </si>
  <si>
    <t>Business Insights</t>
  </si>
  <si>
    <t>Sales were recorded in Chennai, Madurai, and Coimbatore.</t>
  </si>
  <si>
    <t>Missing quantity and salesperson details need to be verified.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</si>
</sst>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Summary!$B$8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Summary!$A$9:$A$10</c:f>
            </c:strRef>
          </c:cat>
          <c:val>
            <c:numRef>
              <c:f>Summary!$B$9:$B$10</c:f>
              <c:numCache/>
            </c:numRef>
          </c:val>
        </c:ser>
        <c:axId val="133754087"/>
        <c:axId val="154938997"/>
      </c:barChart>
      <c:catAx>
        <c:axId val="133754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38997"/>
      </c:catAx>
      <c:valAx>
        <c:axId val="154938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7540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190500</xdr:rowOff>
    </xdr:from>
    <xdr:ext cx="4572000" cy="2809875"/>
    <xdr:graphicFrame>
      <xdr:nvGraphicFramePr>
        <xdr:cNvPr id="1" name="Chart 1" title="Sales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1001.0</v>
      </c>
      <c r="B2" s="3">
        <v>46027.0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2.0</v>
      </c>
      <c r="H2" s="2">
        <v>45000.0</v>
      </c>
    </row>
    <row r="3">
      <c r="A3" s="2">
        <v>1002.0</v>
      </c>
      <c r="B3" s="3">
        <v>46028.0</v>
      </c>
      <c r="C3" s="1" t="s">
        <v>15</v>
      </c>
      <c r="D3" s="1" t="s">
        <v>16</v>
      </c>
      <c r="E3" s="1" t="s">
        <v>13</v>
      </c>
      <c r="F3" s="1" t="s">
        <v>17</v>
      </c>
      <c r="G3" s="2">
        <v>5.0</v>
      </c>
      <c r="H3" s="2">
        <v>500.0</v>
      </c>
    </row>
    <row r="4">
      <c r="A4" s="2">
        <v>1003.0</v>
      </c>
      <c r="B4" s="3">
        <v>46029.0</v>
      </c>
      <c r="C4" s="1" t="s">
        <v>18</v>
      </c>
      <c r="D4" s="1" t="s">
        <v>16</v>
      </c>
      <c r="E4" s="1" t="s">
        <v>19</v>
      </c>
      <c r="F4" s="1" t="s">
        <v>20</v>
      </c>
      <c r="G4" s="2">
        <v>3.0</v>
      </c>
      <c r="H4" s="2">
        <v>1200.0</v>
      </c>
    </row>
    <row r="5">
      <c r="A5" s="2">
        <v>1004.0</v>
      </c>
      <c r="B5" s="3">
        <v>46030.0</v>
      </c>
      <c r="C5" s="1" t="s">
        <v>21</v>
      </c>
      <c r="D5" s="1" t="s">
        <v>12</v>
      </c>
      <c r="E5" s="1" t="s">
        <v>22</v>
      </c>
      <c r="F5" s="1" t="s">
        <v>17</v>
      </c>
      <c r="G5" s="2">
        <v>2.0</v>
      </c>
      <c r="H5" s="2">
        <v>12000.0</v>
      </c>
    </row>
    <row r="6">
      <c r="A6" s="2">
        <v>1005.0</v>
      </c>
      <c r="B6" s="3">
        <v>46031.0</v>
      </c>
      <c r="C6" s="1" t="s">
        <v>11</v>
      </c>
      <c r="D6" s="1" t="s">
        <v>12</v>
      </c>
      <c r="E6" s="1" t="s">
        <v>13</v>
      </c>
      <c r="F6" s="1" t="s">
        <v>14</v>
      </c>
      <c r="G6" s="2">
        <v>1.0</v>
      </c>
      <c r="H6" s="2">
        <v>45000.0</v>
      </c>
    </row>
    <row r="7">
      <c r="A7" s="2">
        <v>1006.0</v>
      </c>
      <c r="B7" s="3">
        <v>46032.0</v>
      </c>
      <c r="C7" s="1" t="s">
        <v>15</v>
      </c>
      <c r="D7" s="1" t="s">
        <v>16</v>
      </c>
      <c r="E7" s="1" t="s">
        <v>19</v>
      </c>
      <c r="F7" s="1" t="s">
        <v>20</v>
      </c>
      <c r="G7" s="4"/>
      <c r="H7" s="2">
        <v>500.0</v>
      </c>
    </row>
    <row r="8">
      <c r="A8" s="2">
        <v>1007.0</v>
      </c>
      <c r="B8" s="3">
        <v>46033.0</v>
      </c>
      <c r="C8" s="1" t="s">
        <v>23</v>
      </c>
      <c r="D8" s="1" t="s">
        <v>12</v>
      </c>
      <c r="E8" s="1" t="s">
        <v>13</v>
      </c>
      <c r="F8" s="1" t="s">
        <v>17</v>
      </c>
      <c r="G8" s="2">
        <v>2.0</v>
      </c>
      <c r="H8" s="2">
        <v>8500.0</v>
      </c>
    </row>
    <row r="9">
      <c r="A9" s="2">
        <v>1008.0</v>
      </c>
      <c r="B9" s="3">
        <v>46034.0</v>
      </c>
      <c r="C9" s="1" t="s">
        <v>18</v>
      </c>
      <c r="D9" s="1" t="s">
        <v>16</v>
      </c>
      <c r="E9" s="1" t="s">
        <v>13</v>
      </c>
      <c r="F9" s="1" t="s">
        <v>14</v>
      </c>
      <c r="G9" s="2">
        <v>4.0</v>
      </c>
      <c r="H9" s="2">
        <v>1200.0</v>
      </c>
    </row>
    <row r="10">
      <c r="A10" s="2">
        <v>1009.0</v>
      </c>
      <c r="B10" s="3">
        <v>46035.0</v>
      </c>
      <c r="C10" s="1" t="s">
        <v>21</v>
      </c>
      <c r="D10" s="1" t="s">
        <v>12</v>
      </c>
      <c r="E10" s="1" t="s">
        <v>22</v>
      </c>
      <c r="F10" s="1" t="s">
        <v>20</v>
      </c>
      <c r="G10" s="2">
        <v>1.0</v>
      </c>
      <c r="H10" s="2">
        <v>12000.0</v>
      </c>
    </row>
    <row r="11">
      <c r="A11" s="2">
        <v>1010.0</v>
      </c>
      <c r="B11" s="3">
        <v>46036.0</v>
      </c>
      <c r="C11" s="1" t="s">
        <v>15</v>
      </c>
      <c r="D11" s="1" t="s">
        <v>16</v>
      </c>
      <c r="E11" s="1" t="s">
        <v>13</v>
      </c>
      <c r="F11" s="1" t="s">
        <v>17</v>
      </c>
      <c r="G11" s="2">
        <v>3.0</v>
      </c>
      <c r="H11" s="2">
        <v>500.0</v>
      </c>
    </row>
    <row r="12">
      <c r="A12" s="2">
        <v>1011.0</v>
      </c>
      <c r="B12" s="3">
        <v>46037.0</v>
      </c>
      <c r="C12" s="1" t="s">
        <v>11</v>
      </c>
      <c r="D12" s="1" t="s">
        <v>12</v>
      </c>
      <c r="E12" s="1" t="s">
        <v>19</v>
      </c>
      <c r="F12" s="1" t="s">
        <v>14</v>
      </c>
      <c r="G12" s="2">
        <v>2.0</v>
      </c>
      <c r="H12" s="2">
        <v>45000.0</v>
      </c>
    </row>
    <row r="13">
      <c r="A13" s="2">
        <v>1011.0</v>
      </c>
      <c r="B13" s="3">
        <v>46037.0</v>
      </c>
      <c r="C13" s="1" t="s">
        <v>11</v>
      </c>
      <c r="D13" s="1" t="s">
        <v>12</v>
      </c>
      <c r="E13" s="1" t="s">
        <v>19</v>
      </c>
      <c r="F13" s="1" t="s">
        <v>14</v>
      </c>
      <c r="G13" s="2">
        <v>2.0</v>
      </c>
      <c r="H13" s="2">
        <v>45000.0</v>
      </c>
    </row>
    <row r="14">
      <c r="A14" s="2">
        <v>1012.0</v>
      </c>
      <c r="B14" s="3">
        <v>46038.0</v>
      </c>
      <c r="C14" s="1" t="s">
        <v>23</v>
      </c>
      <c r="D14" s="1" t="s">
        <v>12</v>
      </c>
      <c r="E14" s="1" t="s">
        <v>22</v>
      </c>
      <c r="G14" s="2">
        <v>1.0</v>
      </c>
      <c r="H14" s="2">
        <v>8500.0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10" max="10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1001.0</v>
      </c>
      <c r="B2" s="3">
        <v>46027.0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2.0</v>
      </c>
      <c r="H2" s="2">
        <v>45000.0</v>
      </c>
      <c r="I2" s="5">
        <f t="shared" ref="I2:I13" si="1">G2*H2</f>
        <v>90000</v>
      </c>
      <c r="J2" s="5" t="str">
        <f>VLOOKUP(A2,A2:I13,3,FALSE)</f>
        <v>Laptop</v>
      </c>
      <c r="K2" s="5" t="str">
        <f t="array" ref="K2">_xlfn.XLOOKUP(A2,A2:A13,C2:C13,"Not found")</f>
        <v>Laptop</v>
      </c>
    </row>
    <row r="3">
      <c r="A3" s="2">
        <v>1002.0</v>
      </c>
      <c r="B3" s="3">
        <v>46028.0</v>
      </c>
      <c r="C3" s="1" t="s">
        <v>15</v>
      </c>
      <c r="D3" s="1" t="s">
        <v>16</v>
      </c>
      <c r="E3" s="1" t="s">
        <v>13</v>
      </c>
      <c r="F3" s="1" t="s">
        <v>17</v>
      </c>
      <c r="G3" s="2">
        <v>5.0</v>
      </c>
      <c r="H3" s="2">
        <v>500.0</v>
      </c>
      <c r="I3" s="5">
        <f t="shared" si="1"/>
        <v>2500</v>
      </c>
      <c r="J3" s="5" t="str">
        <f>VLOOKUP(A3,A2:I13,3,FALSE)</f>
        <v>Mouse</v>
      </c>
      <c r="K3" s="5" t="str">
        <f t="array" ref="K3">_xlfn.XLOOKUP(A3,A2:A13,C2:C13,"Not found")</f>
        <v>Mouse</v>
      </c>
    </row>
    <row r="4">
      <c r="A4" s="2">
        <v>1003.0</v>
      </c>
      <c r="B4" s="3">
        <v>46029.0</v>
      </c>
      <c r="C4" s="1" t="s">
        <v>18</v>
      </c>
      <c r="D4" s="1" t="s">
        <v>16</v>
      </c>
      <c r="E4" s="1" t="s">
        <v>19</v>
      </c>
      <c r="F4" s="1" t="s">
        <v>20</v>
      </c>
      <c r="G4" s="2">
        <v>3.0</v>
      </c>
      <c r="H4" s="2">
        <v>1200.0</v>
      </c>
      <c r="I4" s="5">
        <f t="shared" si="1"/>
        <v>3600</v>
      </c>
      <c r="J4" s="5" t="str">
        <f>VLOOKUP(A4,A2:I13,3,FALSE)</f>
        <v>Keyboard</v>
      </c>
      <c r="K4" s="5" t="str">
        <f t="array" ref="K4">_xlfn.XLOOKUP(A4,A2:A13,C2:C13,"Not found")</f>
        <v>Keyboard</v>
      </c>
    </row>
    <row r="5">
      <c r="A5" s="2">
        <v>1004.0</v>
      </c>
      <c r="B5" s="3">
        <v>46030.0</v>
      </c>
      <c r="C5" s="1" t="s">
        <v>21</v>
      </c>
      <c r="D5" s="1" t="s">
        <v>12</v>
      </c>
      <c r="E5" s="1" t="s">
        <v>22</v>
      </c>
      <c r="F5" s="1" t="s">
        <v>17</v>
      </c>
      <c r="G5" s="2">
        <v>2.0</v>
      </c>
      <c r="H5" s="2">
        <v>12000.0</v>
      </c>
      <c r="I5" s="5">
        <f t="shared" si="1"/>
        <v>24000</v>
      </c>
      <c r="J5" s="5" t="str">
        <f>VLOOKUP(A5,A2:I13,3,FALSE)</f>
        <v>Monitor</v>
      </c>
      <c r="K5" s="5" t="str">
        <f t="array" ref="K5">_xlfn.XLOOKUP(A5,A2:A13,C2:C13,"Not found")</f>
        <v>Monitor</v>
      </c>
    </row>
    <row r="6">
      <c r="A6" s="2">
        <v>1005.0</v>
      </c>
      <c r="B6" s="3">
        <v>46031.0</v>
      </c>
      <c r="C6" s="1" t="s">
        <v>11</v>
      </c>
      <c r="D6" s="1" t="s">
        <v>12</v>
      </c>
      <c r="E6" s="1" t="s">
        <v>13</v>
      </c>
      <c r="F6" s="1" t="s">
        <v>14</v>
      </c>
      <c r="G6" s="2">
        <v>1.0</v>
      </c>
      <c r="H6" s="2">
        <v>45000.0</v>
      </c>
      <c r="I6" s="5">
        <f t="shared" si="1"/>
        <v>45000</v>
      </c>
      <c r="J6" s="5" t="str">
        <f>VLOOKUP(A6,A2:I13,3,FALSE)</f>
        <v>Laptop</v>
      </c>
      <c r="K6" s="5" t="str">
        <f t="array" ref="K6">_xlfn.XLOOKUP(A6,A2:A13,C2:C13,"Not found")</f>
        <v>Laptop</v>
      </c>
    </row>
    <row r="7">
      <c r="A7" s="2">
        <v>1006.0</v>
      </c>
      <c r="B7" s="3">
        <v>46032.0</v>
      </c>
      <c r="C7" s="1" t="s">
        <v>15</v>
      </c>
      <c r="D7" s="1" t="s">
        <v>16</v>
      </c>
      <c r="E7" s="1" t="s">
        <v>19</v>
      </c>
      <c r="F7" s="1" t="s">
        <v>20</v>
      </c>
      <c r="G7" s="4"/>
      <c r="H7" s="2">
        <v>500.0</v>
      </c>
      <c r="I7" s="5">
        <f t="shared" si="1"/>
        <v>0</v>
      </c>
      <c r="J7" s="5" t="str">
        <f>VLOOKUP(A7,A2:I13,3,FALSE)</f>
        <v>Mouse</v>
      </c>
      <c r="K7" s="5" t="str">
        <f t="array" ref="K7">_xlfn.XLOOKUP(A7,A2:A13,C2:C13,"Not found")</f>
        <v>Mouse</v>
      </c>
    </row>
    <row r="8">
      <c r="A8" s="2">
        <v>1007.0</v>
      </c>
      <c r="B8" s="3">
        <v>46033.0</v>
      </c>
      <c r="C8" s="1" t="s">
        <v>23</v>
      </c>
      <c r="D8" s="1" t="s">
        <v>12</v>
      </c>
      <c r="E8" s="1" t="s">
        <v>13</v>
      </c>
      <c r="F8" s="1" t="s">
        <v>17</v>
      </c>
      <c r="G8" s="2">
        <v>2.0</v>
      </c>
      <c r="H8" s="2">
        <v>8500.0</v>
      </c>
      <c r="I8" s="5">
        <f t="shared" si="1"/>
        <v>17000</v>
      </c>
      <c r="J8" s="5" t="str">
        <f>VLOOKUP(A8,A2:I13,3,FALSE)</f>
        <v>Printer</v>
      </c>
      <c r="K8" s="5" t="str">
        <f t="array" ref="K8">_xlfn.XLOOKUP(A8,A2:A13,C2:C13,"Not found")</f>
        <v>Printer</v>
      </c>
    </row>
    <row r="9">
      <c r="A9" s="2">
        <v>1008.0</v>
      </c>
      <c r="B9" s="3">
        <v>46034.0</v>
      </c>
      <c r="C9" s="1" t="s">
        <v>18</v>
      </c>
      <c r="D9" s="1" t="s">
        <v>16</v>
      </c>
      <c r="E9" s="1" t="s">
        <v>13</v>
      </c>
      <c r="F9" s="1" t="s">
        <v>14</v>
      </c>
      <c r="G9" s="2">
        <v>4.0</v>
      </c>
      <c r="H9" s="2">
        <v>1200.0</v>
      </c>
      <c r="I9" s="5">
        <f t="shared" si="1"/>
        <v>4800</v>
      </c>
      <c r="J9" s="5" t="str">
        <f>VLOOKUP(A9,A2:I13,3,FALSE)</f>
        <v>Keyboard</v>
      </c>
      <c r="K9" s="5" t="str">
        <f t="array" ref="K9">_xlfn.XLOOKUP(A9,A2:A13,C2:C13,"Not found")</f>
        <v>Keyboard</v>
      </c>
    </row>
    <row r="10">
      <c r="A10" s="2">
        <v>1009.0</v>
      </c>
      <c r="B10" s="3">
        <v>46035.0</v>
      </c>
      <c r="C10" s="1" t="s">
        <v>21</v>
      </c>
      <c r="D10" s="1" t="s">
        <v>12</v>
      </c>
      <c r="E10" s="1" t="s">
        <v>22</v>
      </c>
      <c r="F10" s="1" t="s">
        <v>20</v>
      </c>
      <c r="G10" s="2">
        <v>1.0</v>
      </c>
      <c r="H10" s="2">
        <v>12000.0</v>
      </c>
      <c r="I10" s="5">
        <f t="shared" si="1"/>
        <v>12000</v>
      </c>
      <c r="J10" s="5" t="str">
        <f>VLOOKUP(A10,A2:I13,3,FALSE)</f>
        <v>Monitor</v>
      </c>
      <c r="K10" s="5" t="str">
        <f t="array" ref="K10">_xlfn.XLOOKUP(A10,A2:A13,C2:C13,"Not found")</f>
        <v>Monitor</v>
      </c>
    </row>
    <row r="11">
      <c r="A11" s="2">
        <v>1010.0</v>
      </c>
      <c r="B11" s="3">
        <v>46036.0</v>
      </c>
      <c r="C11" s="1" t="s">
        <v>15</v>
      </c>
      <c r="D11" s="1" t="s">
        <v>16</v>
      </c>
      <c r="E11" s="1" t="s">
        <v>13</v>
      </c>
      <c r="F11" s="1" t="s">
        <v>17</v>
      </c>
      <c r="G11" s="2">
        <v>3.0</v>
      </c>
      <c r="H11" s="2">
        <v>500.0</v>
      </c>
      <c r="I11" s="5">
        <f t="shared" si="1"/>
        <v>1500</v>
      </c>
      <c r="J11" s="5" t="str">
        <f>VLOOKUP(A11,A2:I13,3,FALSE)</f>
        <v>Mouse</v>
      </c>
      <c r="K11" s="5" t="str">
        <f t="array" ref="K11">_xlfn.XLOOKUP(A11,A2:A13,C2:C13,"Not found")</f>
        <v>Mouse</v>
      </c>
    </row>
    <row r="12">
      <c r="A12" s="2">
        <v>1011.0</v>
      </c>
      <c r="B12" s="3">
        <v>46037.0</v>
      </c>
      <c r="C12" s="1" t="s">
        <v>11</v>
      </c>
      <c r="D12" s="1" t="s">
        <v>12</v>
      </c>
      <c r="E12" s="1" t="s">
        <v>19</v>
      </c>
      <c r="F12" s="1" t="s">
        <v>14</v>
      </c>
      <c r="G12" s="2">
        <v>2.0</v>
      </c>
      <c r="H12" s="2">
        <v>45000.0</v>
      </c>
      <c r="I12" s="5">
        <f t="shared" si="1"/>
        <v>90000</v>
      </c>
      <c r="J12" s="5" t="str">
        <f>VLOOKUP(A12,A2:I13,3,FALSE)</f>
        <v>Laptop</v>
      </c>
      <c r="K12" s="5" t="str">
        <f t="array" ref="K12">_xlfn.XLOOKUP(A12,A2:A13,C2:C13,"Not found")</f>
        <v>Laptop</v>
      </c>
    </row>
    <row r="13">
      <c r="A13" s="2">
        <v>1012.0</v>
      </c>
      <c r="B13" s="3">
        <v>46038.0</v>
      </c>
      <c r="C13" s="1" t="s">
        <v>23</v>
      </c>
      <c r="D13" s="1" t="s">
        <v>12</v>
      </c>
      <c r="E13" s="1" t="s">
        <v>22</v>
      </c>
      <c r="F13" s="1" t="s">
        <v>24</v>
      </c>
      <c r="G13" s="2">
        <v>1.0</v>
      </c>
      <c r="H13" s="2">
        <v>8500.0</v>
      </c>
      <c r="I13" s="5">
        <f t="shared" si="1"/>
        <v>8500</v>
      </c>
      <c r="J13" s="5" t="str">
        <f>VLOOKUP(A13,A2:I13,3,FALSE)</f>
        <v>Printer</v>
      </c>
      <c r="K13" s="5" t="str">
        <f t="array" ref="K13">_xlfn.XLOOKUP(A13,A2:A13,C2:C13,"Not found")</f>
        <v>Printer</v>
      </c>
    </row>
  </sheetData>
  <conditionalFormatting sqref="H2:H13">
    <cfRule type="cellIs" dxfId="0" priority="1" operator="greaterThan">
      <formula>10000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25</v>
      </c>
      <c r="B1" s="1" t="s">
        <v>26</v>
      </c>
    </row>
    <row r="2">
      <c r="A2" s="1" t="s">
        <v>27</v>
      </c>
      <c r="B2" s="2">
        <v>12.0</v>
      </c>
    </row>
    <row r="3">
      <c r="A3" s="1" t="s">
        <v>28</v>
      </c>
      <c r="B3" s="2">
        <v>1.0</v>
      </c>
    </row>
    <row r="4">
      <c r="A4" s="1" t="s">
        <v>29</v>
      </c>
      <c r="B4" s="2">
        <v>1.0</v>
      </c>
    </row>
    <row r="5">
      <c r="A5" s="1" t="s">
        <v>30</v>
      </c>
      <c r="B5" s="2">
        <v>1.0</v>
      </c>
    </row>
    <row r="6">
      <c r="A6" s="1" t="s">
        <v>31</v>
      </c>
      <c r="B6" s="4">
        <f>SUM('Cleaned Data'!I2:I13)</f>
        <v>298900</v>
      </c>
    </row>
    <row r="7">
      <c r="A7" s="1" t="s">
        <v>32</v>
      </c>
    </row>
    <row r="8">
      <c r="A8" s="1" t="s">
        <v>3</v>
      </c>
      <c r="B8" s="1" t="s">
        <v>31</v>
      </c>
    </row>
    <row r="9">
      <c r="A9" s="1" t="s">
        <v>12</v>
      </c>
      <c r="B9" s="4">
        <f>SUMIF('Cleaned Data'!D2:D13,"Electronics",'Cleaned Data'!I2:I13)</f>
        <v>286500</v>
      </c>
    </row>
    <row r="10">
      <c r="A10" s="1" t="s">
        <v>16</v>
      </c>
      <c r="B10" s="4">
        <f>SUMIF('Cleaned Data'!D2:D13,"Accessories",'Cleaned Data'!I2:I13)</f>
        <v>12400</v>
      </c>
    </row>
    <row r="12">
      <c r="A12" s="1" t="s">
        <v>33</v>
      </c>
      <c r="B12" s="4">
        <f>SUM('Cleaned Data'!I2:I13)</f>
        <v>298900</v>
      </c>
    </row>
    <row r="30">
      <c r="A30" s="1" t="s">
        <v>34</v>
      </c>
    </row>
    <row r="31">
      <c r="A31" s="1" t="s">
        <v>35</v>
      </c>
    </row>
    <row r="32">
      <c r="A32" s="1" t="s">
        <v>36</v>
      </c>
    </row>
  </sheetData>
  <drawing r:id="rId1"/>
</worksheet>
</file>